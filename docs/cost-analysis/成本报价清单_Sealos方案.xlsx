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成本报价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<sst xmlns="http://schemas.openxmlformats.org/spreadsheetml/2006/main" count="104" uniqueCount="74">
  <si>
    <t>RPBox 成本报价清单（Sealos 方案）</t>
  </si>
  <si>
    <t>适用场景：50日活 / 300注册用户</t>
  </si>
  <si>
    <t>【Sealos 单价参考】</t>
  </si>
  <si>
    <t>资源</t>
  </si>
  <si>
    <t>单价</t>
  </si>
  <si>
    <t>单位</t>
  </si>
  <si>
    <t>CPU</t>
  </si>
  <si>
    <t>核/月</t>
  </si>
  <si>
    <t>内存</t>
  </si>
  <si>
    <t>G/月</t>
  </si>
  <si>
    <t>存储</t>
  </si>
  <si>
    <t>端口</t>
  </si>
  <si>
    <t>个/月</t>
  </si>
  <si>
    <t>流量</t>
  </si>
  <si>
    <t>G</t>
  </si>
  <si>
    <t>【运营成本】</t>
  </si>
  <si>
    <t>序号</t>
  </si>
  <si>
    <t>项目</t>
  </si>
  <si>
    <t>选型</t>
  </si>
  <si>
    <t>数量</t>
  </si>
  <si>
    <t>月成本(元)</t>
  </si>
  <si>
    <t>年成本(元)</t>
  </si>
  <si>
    <t>备注</t>
  </si>
  <si>
    <t>Sealos CPU</t>
  </si>
  <si>
    <t>2核</t>
  </si>
  <si>
    <t/>
  </si>
  <si>
    <t>Sealos 内存</t>
  </si>
  <si>
    <t>4G</t>
  </si>
  <si>
    <t>Sealos 存储</t>
  </si>
  <si>
    <t>40G</t>
  </si>
  <si>
    <t>Sealos 端口</t>
  </si>
  <si>
    <t>2个</t>
  </si>
  <si>
    <t>HTTP+HTTPS</t>
  </si>
  <si>
    <t>Sealos 流量</t>
  </si>
  <si>
    <t>10G</t>
  </si>
  <si>
    <t>API流量</t>
  </si>
  <si>
    <t>Sealos 小计</t>
  </si>
  <si>
    <t>2C4G40G</t>
  </si>
  <si>
    <t>对象存储</t>
  </si>
  <si>
    <t>阿里云OSS 100GB资源包</t>
  </si>
  <si>
    <t>元/年</t>
  </si>
  <si>
    <t>首年够用</t>
  </si>
  <si>
    <t>OSS流量</t>
  </si>
  <si>
    <t>CDN回源+CDN 23GB/月</t>
  </si>
  <si>
    <t>元/月</t>
  </si>
  <si>
    <t>按月计费</t>
  </si>
  <si>
    <t>数据库备份</t>
  </si>
  <si>
    <t>OSS冷存储 1GB×90天</t>
  </si>
  <si>
    <t>每日全量备份</t>
  </si>
  <si>
    <t>域名</t>
  </si>
  <si>
    <t>totalrpbox.com</t>
  </si>
  <si>
    <t>已租用</t>
  </si>
  <si>
    <t>杂项预留</t>
  </si>
  <si>
    <t>邮件/监控等</t>
  </si>
  <si>
    <t>预留额度</t>
  </si>
  <si>
    <t>运营小计</t>
  </si>
  <si>
    <t>【开发成本】</t>
  </si>
  <si>
    <t>AI辅助开发</t>
  </si>
  <si>
    <t>Claude Pro会员</t>
  </si>
  <si>
    <t>$20/月 汇率6.96</t>
  </si>
  <si>
    <t>开发小计</t>
  </si>
  <si>
    <t>【总成本汇总】</t>
  </si>
  <si>
    <t>类别</t>
  </si>
  <si>
    <t>占比</t>
  </si>
  <si>
    <t>运营成本</t>
  </si>
  <si>
    <t>开发成本</t>
  </si>
  <si>
    <t>总计</t>
  </si>
  <si>
    <t>100%</t>
  </si>
  <si>
    <t>【备注】</t>
  </si>
  <si>
    <t>• 底价说明：Claude API 按量计费约 $15/百万token（输入）+ $75/百万token（输出），Pro会员包月更划算</t>
  </si>
  <si>
    <t>• 汇率：按 1 USD = 6.96 CNY 计算</t>
  </si>
  <si>
    <t>• Sealos 流量：仅 API 请求流量，图片流量走 OSS</t>
  </si>
  <si>
    <t>• OSS 流量：包含 CDN 回源和 CDN 分发，约 23GB/月</t>
  </si>
  <si>
    <t>·Sealos是服务器商的名字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</si>
</sst>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B4C6E7"/>
        <bgColor rgb="FFB4C6E7"/>
      </patternFill>
    </fill>
    <fill>
      <patternFill patternType="solid">
        <fgColor rgb="FFFFC000"/>
        <bgColor rgb="FFFFC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/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3" fillId="3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right" vertical="center"/>
    </xf>
    <xf numFmtId="0" fontId="0" fillId="3" borderId="1" xfId="0" applyFill="1" applyBorder="1"/>
    <xf numFmtId="0" fontId="3" fillId="3" borderId="1" xfId="0" applyFont="1" applyFill="1" applyBorder="1"/>
    <xf numFmtId="2" fontId="0" fillId="3" borderId="1" xfId="0" applyNumberFormat="1" applyFill="1" applyBorder="1"/>
    <xf numFmtId="0" fontId="0" fillId="4" borderId="1" xfId="0" applyFill="1" applyBorder="1"/>
    <xf numFmtId="0" fontId="3" fillId="4" borderId="1" xfId="0" applyFont="1" applyFill="1" applyBorder="1"/>
    <xf numFmtId="2" fontId="0" fillId="4" borderId="1" xfId="0" applyNumberFormat="1" applyFill="1" applyBorder="1"/>
    <xf numFmtId="9" fontId="0" fillId="0" borderId="1" xfId="0" applyNumberFormat="1" applyBorder="1"/>
    <xf numFmtId="0" fontId="4" fillId="4" borderId="1" xfId="0" applyFont="1" applyFill="1" applyBorder="1"/>
    <xf numFmtId="2" fontId="3" fillId="4" borderId="1" xfId="0" applyNumberFormat="1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zoomScale="145" zoomScaleNormal="145" topLeftCell="A6" workbookViewId="0">
      <selection activeCell="H25" sqref="H25"/>
    </sheetView>
  </sheetViews>
  <sheetFormatPr defaultColWidth="9" defaultRowHeight="14"/>
  <cols>
    <col min="1" max="1" width="6" customWidth="1"/>
    <col min="2" max="2" width="18" customWidth="1"/>
    <col min="3" max="3" width="25" customWidth="1"/>
    <col min="4" max="5" width="10" customWidth="1"/>
    <col min="6" max="6" width="12" customWidth="1"/>
    <col min="7" max="8" width="14" customWidth="1"/>
    <col min="9" max="9" width="30" customWidth="1"/>
  </cols>
  <sheetData>
    <row r="1" ht="21" spans="1:9">
      <c r="A1" s="1" t="s">
        <v>0</v>
      </c>
    </row>
    <row r="2" spans="1:9">
      <c r="A2" s="2" t="s">
        <v>1</v>
      </c>
    </row>
    <row r="4" ht="15" spans="1:9">
      <c r="A4" s="3" t="s">
        <v>2</v>
      </c>
    </row>
    <row r="5" spans="1:9">
      <c r="B5" s="4" t="s">
        <v>3</v>
      </c>
      <c r="C5" s="4" t="s">
        <v>4</v>
      </c>
      <c r="D5" s="4" t="s">
        <v>5</v>
      </c>
    </row>
    <row r="6" spans="1:9">
      <c r="B6" s="5" t="s">
        <v>6</v>
      </c>
      <c r="C6" s="6">
        <v>12.33</v>
      </c>
      <c r="D6" s="5" t="s">
        <v>7</v>
      </c>
    </row>
    <row r="7" spans="1:9">
      <c r="B7" s="5" t="s">
        <v>8</v>
      </c>
      <c r="C7" s="6">
        <v>6.22</v>
      </c>
      <c r="D7" s="5" t="s">
        <v>9</v>
      </c>
    </row>
    <row r="8" spans="1:9">
      <c r="B8" s="5" t="s">
        <v>10</v>
      </c>
      <c r="C8" s="6">
        <v>0.38</v>
      </c>
      <c r="D8" s="5" t="s">
        <v>9</v>
      </c>
    </row>
    <row r="9" spans="1:9">
      <c r="B9" s="5" t="s">
        <v>11</v>
      </c>
      <c r="C9" s="6">
        <v>5.04</v>
      </c>
      <c r="D9" s="5" t="s">
        <v>12</v>
      </c>
    </row>
    <row r="10" spans="1:9">
      <c r="B10" s="5" t="s">
        <v>13</v>
      </c>
      <c r="C10" s="6">
        <v>0.8</v>
      </c>
      <c r="D10" s="5" t="s">
        <v>14</v>
      </c>
    </row>
    <row r="12" ht="15" spans="1:9">
      <c r="A12" s="3" t="s">
        <v>15</v>
      </c>
    </row>
    <row r="13" spans="1:9">
      <c r="A13" s="7" t="s">
        <v>16</v>
      </c>
      <c r="B13" s="7" t="s">
        <v>17</v>
      </c>
      <c r="C13" s="7" t="s">
        <v>18</v>
      </c>
      <c r="D13" s="7" t="s">
        <v>19</v>
      </c>
      <c r="E13" s="7" t="s">
        <v>4</v>
      </c>
      <c r="F13" s="7" t="s">
        <v>5</v>
      </c>
      <c r="G13" s="7" t="s">
        <v>20</v>
      </c>
      <c r="H13" s="7" t="s">
        <v>21</v>
      </c>
      <c r="I13" s="7" t="s">
        <v>22</v>
      </c>
    </row>
    <row r="14" spans="1:9">
      <c r="A14" s="5">
        <v>1</v>
      </c>
      <c r="B14" s="5" t="s">
        <v>23</v>
      </c>
      <c r="C14" s="5" t="s">
        <v>24</v>
      </c>
      <c r="D14" s="8">
        <v>2</v>
      </c>
      <c r="E14" s="8">
        <f>$C$6</f>
        <v>12.33</v>
      </c>
      <c r="F14" s="5" t="s">
        <v>7</v>
      </c>
      <c r="G14" s="8">
        <f>D14*E14</f>
        <v>24.66</v>
      </c>
      <c r="H14" s="8">
        <f>G14*12</f>
        <v>295.92</v>
      </c>
      <c r="I14" s="5" t="s">
        <v>25</v>
      </c>
    </row>
    <row r="15" spans="1:9">
      <c r="A15" s="5">
        <v>2</v>
      </c>
      <c r="B15" s="5" t="s">
        <v>26</v>
      </c>
      <c r="C15" s="5" t="s">
        <v>27</v>
      </c>
      <c r="D15" s="8">
        <v>4</v>
      </c>
      <c r="E15" s="8">
        <f>$C$7</f>
        <v>6.22</v>
      </c>
      <c r="F15" s="5" t="s">
        <v>9</v>
      </c>
      <c r="G15" s="8">
        <f>D15*E15</f>
        <v>24.88</v>
      </c>
      <c r="H15" s="8">
        <f>G15*12</f>
        <v>298.56</v>
      </c>
      <c r="I15" s="5" t="s">
        <v>25</v>
      </c>
    </row>
    <row r="16" spans="1:9">
      <c r="A16" s="5">
        <v>3</v>
      </c>
      <c r="B16" s="5" t="s">
        <v>28</v>
      </c>
      <c r="C16" s="5" t="s">
        <v>29</v>
      </c>
      <c r="D16" s="8">
        <v>40</v>
      </c>
      <c r="E16" s="8">
        <f>$C$8</f>
        <v>0.38</v>
      </c>
      <c r="F16" s="5" t="s">
        <v>9</v>
      </c>
      <c r="G16" s="8">
        <f>D16*E16</f>
        <v>15.2</v>
      </c>
      <c r="H16" s="8">
        <f>G16*12</f>
        <v>182.4</v>
      </c>
      <c r="I16" s="5" t="s">
        <v>25</v>
      </c>
    </row>
    <row r="17" spans="1:9">
      <c r="A17" s="5">
        <v>4</v>
      </c>
      <c r="B17" s="5" t="s">
        <v>30</v>
      </c>
      <c r="C17" s="5" t="s">
        <v>31</v>
      </c>
      <c r="D17" s="8">
        <v>2</v>
      </c>
      <c r="E17" s="8">
        <f>$C$9</f>
        <v>5.04</v>
      </c>
      <c r="F17" s="5" t="s">
        <v>12</v>
      </c>
      <c r="G17" s="8">
        <f>D17*E17</f>
        <v>10.08</v>
      </c>
      <c r="H17" s="8">
        <f>G17*12</f>
        <v>120.96</v>
      </c>
      <c r="I17" s="5" t="s">
        <v>32</v>
      </c>
    </row>
    <row r="18" spans="1:9">
      <c r="A18" s="5">
        <v>5</v>
      </c>
      <c r="B18" s="5" t="s">
        <v>33</v>
      </c>
      <c r="C18" s="5" t="s">
        <v>34</v>
      </c>
      <c r="D18" s="8">
        <v>10</v>
      </c>
      <c r="E18" s="8">
        <f>$C$10</f>
        <v>0.8</v>
      </c>
      <c r="F18" s="5" t="s">
        <v>14</v>
      </c>
      <c r="G18" s="8">
        <f>D18*E18</f>
        <v>8</v>
      </c>
      <c r="H18" s="8">
        <f>G18*12</f>
        <v>96</v>
      </c>
      <c r="I18" s="5" t="s">
        <v>35</v>
      </c>
    </row>
    <row r="19" spans="1:9">
      <c r="A19" s="9"/>
      <c r="B19" s="10" t="s">
        <v>36</v>
      </c>
      <c r="C19" s="9" t="s">
        <v>37</v>
      </c>
      <c r="D19" s="9"/>
      <c r="E19" s="9"/>
      <c r="F19" s="9"/>
      <c r="G19" s="11">
        <f>SUM(G14:G18)</f>
        <v>82.82</v>
      </c>
      <c r="H19" s="11">
        <f>SUM(H14:H18)</f>
        <v>993.84</v>
      </c>
      <c r="I19" s="9"/>
    </row>
    <row r="20" spans="1:9">
      <c r="A20" s="5">
        <v>6</v>
      </c>
      <c r="B20" s="5" t="s">
        <v>38</v>
      </c>
      <c r="C20" s="5" t="s">
        <v>39</v>
      </c>
      <c r="D20" s="8">
        <v>1</v>
      </c>
      <c r="E20" s="8">
        <v>126</v>
      </c>
      <c r="F20" s="5" t="s">
        <v>40</v>
      </c>
      <c r="G20" s="8">
        <f>E20/12</f>
        <v>10.5</v>
      </c>
      <c r="H20" s="8">
        <f>E20</f>
        <v>126</v>
      </c>
      <c r="I20" s="5" t="s">
        <v>41</v>
      </c>
    </row>
    <row r="21" spans="1:9">
      <c r="A21" s="5">
        <v>7</v>
      </c>
      <c r="B21" s="5" t="s">
        <v>42</v>
      </c>
      <c r="C21" s="5" t="s">
        <v>43</v>
      </c>
      <c r="D21" s="8">
        <v>12</v>
      </c>
      <c r="E21" s="8">
        <v>5.3</v>
      </c>
      <c r="F21" s="5" t="s">
        <v>44</v>
      </c>
      <c r="G21" s="8">
        <f>E21</f>
        <v>5.3</v>
      </c>
      <c r="H21" s="8">
        <f>G21*D21</f>
        <v>63.6</v>
      </c>
      <c r="I21" s="5" t="s">
        <v>45</v>
      </c>
    </row>
    <row r="22" spans="1:9">
      <c r="A22" s="5">
        <v>8</v>
      </c>
      <c r="B22" s="5" t="s">
        <v>46</v>
      </c>
      <c r="C22" s="5" t="s">
        <v>47</v>
      </c>
      <c r="D22" s="8">
        <v>1</v>
      </c>
      <c r="E22" s="8">
        <v>6</v>
      </c>
      <c r="F22" s="5" t="s">
        <v>40</v>
      </c>
      <c r="G22" s="8">
        <f>E22/12</f>
        <v>0.5</v>
      </c>
      <c r="H22" s="8">
        <f>E22</f>
        <v>6</v>
      </c>
      <c r="I22" s="5" t="s">
        <v>48</v>
      </c>
    </row>
    <row r="23" spans="1:9">
      <c r="A23" s="5">
        <v>9</v>
      </c>
      <c r="B23" s="5" t="s">
        <v>49</v>
      </c>
      <c r="C23" s="5" t="s">
        <v>50</v>
      </c>
      <c r="D23" s="8">
        <v>1</v>
      </c>
      <c r="E23" s="8">
        <v>98</v>
      </c>
      <c r="F23" s="5" t="s">
        <v>40</v>
      </c>
      <c r="G23" s="8">
        <f>E23/12</f>
        <v>8.16666666666667</v>
      </c>
      <c r="H23" s="8">
        <f>E23</f>
        <v>98</v>
      </c>
      <c r="I23" s="5" t="s">
        <v>51</v>
      </c>
    </row>
    <row r="24" spans="1:9">
      <c r="A24" s="5">
        <v>10</v>
      </c>
      <c r="B24" s="5" t="s">
        <v>52</v>
      </c>
      <c r="C24" s="5" t="s">
        <v>53</v>
      </c>
      <c r="D24" s="8">
        <v>1</v>
      </c>
      <c r="E24" s="8">
        <v>5</v>
      </c>
      <c r="F24" s="5" t="s">
        <v>44</v>
      </c>
      <c r="G24" s="8">
        <f>E24</f>
        <v>5</v>
      </c>
      <c r="H24" s="8">
        <f>G24*12</f>
        <v>60</v>
      </c>
      <c r="I24" s="5" t="s">
        <v>54</v>
      </c>
    </row>
    <row r="25" spans="1:9">
      <c r="A25" s="12"/>
      <c r="B25" s="13" t="s">
        <v>55</v>
      </c>
      <c r="C25" s="12"/>
      <c r="D25" s="12"/>
      <c r="E25" s="12"/>
      <c r="F25" s="12"/>
      <c r="G25" s="14">
        <f>G19+SUM(G20:G24)</f>
        <v>112.286666666667</v>
      </c>
      <c r="H25" s="14">
        <f>H19+SUM(H20:H24)</f>
        <v>1347.44</v>
      </c>
      <c r="I25" s="12"/>
    </row>
    <row r="27" ht="15" spans="1:9">
      <c r="A27" s="3" t="s">
        <v>56</v>
      </c>
    </row>
    <row r="28" spans="1:9">
      <c r="A28" s="7" t="s">
        <v>16</v>
      </c>
      <c r="B28" s="7" t="s">
        <v>17</v>
      </c>
      <c r="C28" s="7" t="s">
        <v>18</v>
      </c>
      <c r="D28" s="7" t="s">
        <v>19</v>
      </c>
      <c r="E28" s="7" t="s">
        <v>4</v>
      </c>
      <c r="F28" s="7" t="s">
        <v>5</v>
      </c>
      <c r="G28" s="7" t="s">
        <v>20</v>
      </c>
      <c r="H28" s="7" t="s">
        <v>21</v>
      </c>
      <c r="I28" s="7" t="s">
        <v>22</v>
      </c>
    </row>
    <row r="29" spans="1:9">
      <c r="A29" s="5">
        <v>1</v>
      </c>
      <c r="B29" s="5" t="s">
        <v>57</v>
      </c>
      <c r="C29" s="5" t="s">
        <v>58</v>
      </c>
      <c r="D29" s="8">
        <v>1</v>
      </c>
      <c r="E29" s="8">
        <f>20*6.96</f>
        <v>139.2</v>
      </c>
      <c r="F29" s="5" t="s">
        <v>44</v>
      </c>
      <c r="G29" s="8">
        <f>E29</f>
        <v>139.2</v>
      </c>
      <c r="H29" s="8">
        <f>G29*12</f>
        <v>1670.4</v>
      </c>
      <c r="I29" s="5" t="s">
        <v>59</v>
      </c>
    </row>
    <row r="30" spans="1:9">
      <c r="A30" s="12"/>
      <c r="B30" s="13" t="s">
        <v>60</v>
      </c>
      <c r="C30" s="12"/>
      <c r="D30" s="12"/>
      <c r="E30" s="12"/>
      <c r="F30" s="12"/>
      <c r="G30" s="14">
        <f>SUM(G29:G29)</f>
        <v>139.2</v>
      </c>
      <c r="H30" s="14">
        <f>SUM(H29:H29)</f>
        <v>1670.4</v>
      </c>
      <c r="I30" s="12"/>
    </row>
    <row r="32" ht="15" spans="1:9">
      <c r="A32" s="3" t="s">
        <v>61</v>
      </c>
    </row>
    <row r="33" spans="1:9">
      <c r="A33" s="7" t="s">
        <v>25</v>
      </c>
      <c r="B33" s="7" t="s">
        <v>62</v>
      </c>
      <c r="C33" s="7" t="s">
        <v>25</v>
      </c>
      <c r="D33" s="7" t="s">
        <v>25</v>
      </c>
      <c r="E33" s="7" t="s">
        <v>25</v>
      </c>
      <c r="F33" s="7" t="s">
        <v>25</v>
      </c>
      <c r="G33" s="7" t="s">
        <v>20</v>
      </c>
      <c r="H33" s="7" t="s">
        <v>21</v>
      </c>
      <c r="I33" s="7" t="s">
        <v>63</v>
      </c>
    </row>
    <row r="34" spans="1:9">
      <c r="A34" s="5"/>
      <c r="B34" s="5" t="s">
        <v>64</v>
      </c>
      <c r="C34" s="5"/>
      <c r="D34" s="5"/>
      <c r="E34" s="5"/>
      <c r="F34" s="5"/>
      <c r="G34" s="6">
        <f>G25</f>
        <v>112.286666666667</v>
      </c>
      <c r="H34" s="6">
        <f>H25</f>
        <v>1347.44</v>
      </c>
      <c r="I34" s="15">
        <f>H34/H$36</f>
        <v>0.44649153036609</v>
      </c>
    </row>
    <row r="35" spans="1:9">
      <c r="A35" s="5"/>
      <c r="B35" s="5" t="s">
        <v>65</v>
      </c>
      <c r="C35" s="5"/>
      <c r="D35" s="5"/>
      <c r="E35" s="5"/>
      <c r="F35" s="5"/>
      <c r="G35" s="6">
        <f>G30</f>
        <v>139.2</v>
      </c>
      <c r="H35" s="6">
        <f>H30</f>
        <v>1670.4</v>
      </c>
      <c r="I35" s="15">
        <f>H35/H$36</f>
        <v>0.55350846963391</v>
      </c>
    </row>
    <row r="36" ht="15" spans="1:9">
      <c r="A36" s="12"/>
      <c r="B36" s="16" t="s">
        <v>66</v>
      </c>
      <c r="C36" s="12"/>
      <c r="D36" s="12"/>
      <c r="E36" s="12"/>
      <c r="F36" s="12"/>
      <c r="G36" s="17">
        <f>SUM(G34:G35)</f>
        <v>251.486666666667</v>
      </c>
      <c r="H36" s="17">
        <f>SUM(H34:H35)</f>
        <v>3017.84</v>
      </c>
      <c r="I36" s="12" t="s">
        <v>67</v>
      </c>
    </row>
    <row r="38" ht="15" spans="1:9">
      <c r="A38" s="3" t="s">
        <v>68</v>
      </c>
    </row>
    <row r="39" spans="1:9">
      <c r="A39" t="s">
        <v>69</v>
      </c>
    </row>
    <row r="40" spans="1:9">
      <c r="A40" t="s">
        <v>70</v>
      </c>
    </row>
    <row r="41" spans="1:9">
      <c r="A41" t="s">
        <v>71</v>
      </c>
    </row>
    <row r="42" spans="1:9">
      <c r="A42" t="s">
        <v>72</v>
      </c>
    </row>
    <row r="43" spans="1:9">
      <c r="A43" t="s">
        <v>73</v>
      </c>
    </row>
  </sheetData>
  <mergeCells count="11">
    <mergeCell ref="A1:I1"/>
    <mergeCell ref="A2:I2"/>
    <mergeCell ref="A4:I4"/>
    <mergeCell ref="A12:I12"/>
    <mergeCell ref="A27:I27"/>
    <mergeCell ref="A32:I32"/>
    <mergeCell ref="A38:I38"/>
    <mergeCell ref="A39:I39"/>
    <mergeCell ref="A40:I40"/>
    <mergeCell ref="A41:I41"/>
    <mergeCell ref="A42:I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成本报价清单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❀墨隐千里❀九二铭❀</cp:lastModifiedBy>
  <dcterms:created xsi:type="dcterms:W3CDTF">2026-01-20T06:18:00Z</dcterms:created>
  <dcterms:modified xsi:type="dcterms:W3CDTF">2026-01-20T06:26:09Z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2DC059AC634D4413BA465DCC8FF52A3C_12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